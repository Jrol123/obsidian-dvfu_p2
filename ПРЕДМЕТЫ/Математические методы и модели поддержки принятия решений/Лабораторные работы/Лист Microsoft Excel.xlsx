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obsidian-dvfu_p2\ПРЕДМЕТЫ\Математические методы и модели поддержки принятия решений\Лабораторные работы\"/>
    </mc:Choice>
  </mc:AlternateContent>
  <xr:revisionPtr revIDLastSave="0" documentId="13_ncr:1_{65D0F89A-E271-4D73-BABE-EF1C3595B07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Лист2" sheetId="2" r:id="rId1"/>
  </sheets>
  <definedNames>
    <definedName name="solver_adj" localSheetId="0" hidden="1">Лист2!$C$3:$C$4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Лист2!$C$10</definedName>
    <definedName name="solver_lhs2" localSheetId="0" hidden="1">Лист2!$C$11</definedName>
    <definedName name="solver_lhs3" localSheetId="0" hidden="1">Лист2!$C$12</definedName>
    <definedName name="solver_lhs4" localSheetId="0" hidden="1">Лист2!$C$13</definedName>
    <definedName name="solver_lhs5" localSheetId="0" hidden="1">Лист2!$C$9</definedName>
    <definedName name="solver_lhs6" localSheetId="0" hidden="1">Лист2!$D$9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Лист2!$C$6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1</definedName>
    <definedName name="solver_rel6" localSheetId="0" hidden="1">1</definedName>
    <definedName name="solver_rhs1" localSheetId="0" hidden="1">Лист2!$D$10</definedName>
    <definedName name="solver_rhs2" localSheetId="0" hidden="1">Лист2!$D$11</definedName>
    <definedName name="solver_rhs3" localSheetId="0" hidden="1">Лист2!$D$12</definedName>
    <definedName name="solver_rhs4" localSheetId="0" hidden="1">Лист2!$D$13</definedName>
    <definedName name="solver_rhs5" localSheetId="0" hidden="1">Лист2!$C$8</definedName>
    <definedName name="solver_rhs6" localSheetId="0" hidden="1">Лист2!$D$8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11" i="2"/>
  <c r="C10" i="2"/>
  <c r="D9" i="2"/>
  <c r="C9" i="2"/>
  <c r="C6" i="2"/>
</calcChain>
</file>

<file path=xl/sharedStrings.xml><?xml version="1.0" encoding="utf-8"?>
<sst xmlns="http://schemas.openxmlformats.org/spreadsheetml/2006/main" count="8" uniqueCount="8">
  <si>
    <t>ЛИНЕЙНАЯ ОПТИМИЗАЦИЯ ПЛАНИРОВАНИЯ ПРОИЗВОДСТВА МАТЕРИАЛОВ</t>
  </si>
  <si>
    <t>Суточный объем производства материала A</t>
  </si>
  <si>
    <t>Суточный объем производства материала B</t>
  </si>
  <si>
    <t>Целевая функция</t>
  </si>
  <si>
    <t>Ограничения</t>
  </si>
  <si>
    <t>По запасам на складе</t>
  </si>
  <si>
    <t>На величину спроса</t>
  </si>
  <si>
    <t>По знаку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</si>
</sst>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9ECD-39EC-4923-B56C-5702F6ADBABD}">
  <dimension ref="A1:G13"/>
  <sheetViews>
    <sheetView tabSelected="1" workbookViewId="0">
      <selection activeCell="C9" sqref="C9"/>
    </sheetView>
  </sheetViews>
  <sheetFormatPr defaultRowHeight="14.4" x14ac:dyDescent="0.3"/>
  <cols>
    <col min="1" max="2" width="16.33203125" style="2" customWidth="1"/>
    <col min="3" max="7" width="10.5546875" style="2" customWidth="1"/>
    <col min="8" max="16384" width="8.88671875" style="2"/>
  </cols>
  <sheetData>
    <row r="1" spans="1:7" x14ac:dyDescent="0.3">
      <c r="A1" s="3" t="s">
        <v>0</v>
      </c>
      <c r="B1" s="3"/>
      <c r="C1" s="3"/>
      <c r="D1" s="3"/>
      <c r="E1" s="3"/>
      <c r="F1" s="3"/>
      <c r="G1" s="3"/>
    </row>
    <row r="3" spans="1:7" ht="29.4" customHeight="1" x14ac:dyDescent="0.3">
      <c r="A3" s="1" t="s">
        <v>1</v>
      </c>
      <c r="B3" s="1"/>
      <c r="C3" s="4">
        <v>1</v>
      </c>
    </row>
    <row r="4" spans="1:7" ht="29.4" customHeight="1" x14ac:dyDescent="0.3">
      <c r="A4" s="1" t="s">
        <v>2</v>
      </c>
      <c r="B4" s="1"/>
      <c r="C4" s="4">
        <v>1.9999999999999998</v>
      </c>
    </row>
    <row r="6" spans="1:7" x14ac:dyDescent="0.3">
      <c r="A6" s="1" t="s">
        <v>3</v>
      </c>
      <c r="B6" s="1"/>
      <c r="C6" s="4">
        <f>3000*C3 + 4000*C4</f>
        <v>11000</v>
      </c>
    </row>
    <row r="7" spans="1:7" x14ac:dyDescent="0.3">
      <c r="A7" s="1" t="s">
        <v>4</v>
      </c>
      <c r="B7" s="1"/>
    </row>
    <row r="8" spans="1:7" ht="28.8" customHeight="1" x14ac:dyDescent="0.3">
      <c r="A8" s="1" t="s">
        <v>5</v>
      </c>
      <c r="B8" s="1"/>
      <c r="C8" s="2">
        <v>9</v>
      </c>
      <c r="D8" s="2">
        <v>12</v>
      </c>
    </row>
    <row r="9" spans="1:7" x14ac:dyDescent="0.3">
      <c r="C9" s="2">
        <f>5*C3 + 2 * C4</f>
        <v>9</v>
      </c>
      <c r="D9" s="2">
        <f>2*C3 + 4*C4</f>
        <v>10</v>
      </c>
    </row>
    <row r="10" spans="1:7" ht="28.8" x14ac:dyDescent="0.3">
      <c r="B10" s="2" t="s">
        <v>6</v>
      </c>
      <c r="C10" s="2">
        <f>C4-C3</f>
        <v>0.99999999999999978</v>
      </c>
      <c r="D10" s="2">
        <v>1</v>
      </c>
    </row>
    <row r="11" spans="1:7" x14ac:dyDescent="0.3">
      <c r="C11" s="2">
        <f>C3</f>
        <v>1</v>
      </c>
      <c r="D11" s="2">
        <v>3</v>
      </c>
    </row>
    <row r="12" spans="1:7" x14ac:dyDescent="0.3">
      <c r="B12" s="2" t="s">
        <v>7</v>
      </c>
      <c r="C12" s="2">
        <f>C3</f>
        <v>1</v>
      </c>
      <c r="D12" s="2">
        <v>0</v>
      </c>
    </row>
    <row r="13" spans="1:7" x14ac:dyDescent="0.3">
      <c r="C13" s="2">
        <f>C4</f>
        <v>1.9999999999999998</v>
      </c>
      <c r="D13" s="2">
        <v>0</v>
      </c>
    </row>
  </sheetData>
  <mergeCells count="6">
    <mergeCell ref="A1:G1"/>
    <mergeCell ref="A4:B4"/>
    <mergeCell ref="A3:B3"/>
    <mergeCell ref="A6:B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Артемий Поповкин</dc:creator>
  <cp:lastModifiedBy>Артемий Поповкин</cp:lastModifiedBy>
  <dcterms:created xsi:type="dcterms:W3CDTF">2015-06-05T18:19:34Z</dcterms:created>
  <dcterms:modified xsi:type="dcterms:W3CDTF">2026-09-28T07:45:50Z</dcterms:modified>
</cp:coreProperties>
</file>